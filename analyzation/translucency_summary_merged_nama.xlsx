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translucency_summary_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<sst xmlns="http://schemas.openxmlformats.org/spreadsheetml/2006/main" count="66" uniqueCount="65">
  <si>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FileName</t>
  </si>
  <si>
    <t>KT_weights</t>
  </si>
  <si>
    <t>MaxDegree</t>
  </si>
  <si>
    <t>Final_translucency_score</t>
  </si>
  <si>
    <t>Para_sensitivity_on_max_VP_paths_sum(T_angle)</t>
  </si>
  <si>
    <t>Para_sensitivity_on_max_VP_paths_sum(T_length)</t>
  </si>
  <si>
    <t>Para_sensitivity_on_max_VP_paths_sum(T_location)</t>
  </si>
  <si>
    <t>Para_sensitivity_on_max_VP_paths_sum(S_horiz)</t>
  </si>
  <si>
    <t>Para_sensitivity_on_max_VP_paths_weighted_sum</t>
  </si>
  <si>
    <t>Para_sensitivity_on_max_VP_paths_valid_paths</t>
  </si>
  <si>
    <t>Path_stats_on_effective_max-VP_paths_avg_effective_len</t>
  </si>
  <si>
    <t>Path_stats_on_effective_max-VP_paths_total_inner_middle</t>
  </si>
  <si>
    <t>Path_stats_on_effective_max-VP_paths_total_outer_middle</t>
  </si>
  <si>
    <t>inner ratio</t>
  </si>
  <si>
    <t>Path_stats_on_effective_max-VP_paths_avg_inner_middle</t>
  </si>
  <si>
    <t>Path_stats_on_effective_max-VP_paths_avg_outer_middle</t>
  </si>
  <si>
    <t>VP_paths_avg_straightness</t>
  </si>
  <si>
    <t>Path_stats_on_effective_max-VP_paths_valid_path_num</t>
  </si>
  <si>
    <t>FinalEdgesUsed</t>
  </si>
  <si>
    <t>FinalEdgesTotal</t>
  </si>
  <si>
    <t>Porosity</t>
  </si>
  <si>
    <t>Floating_voxel_count_(removed_from_SDF)</t>
  </si>
  <si>
    <t>Unsupported_voxel_count</t>
  </si>
  <si>
    <t>total illegal voxeles</t>
  </si>
  <si>
    <t>namaqualand_0001.txt</t>
  </si>
  <si>
    <t>0.000000, 0.000000, 0.000000, 1.000000</t>
  </si>
  <si>
    <t>7   num: 4</t>
  </si>
  <si>
    <t>namaqualand_0010.txt</t>
  </si>
  <si>
    <t>0.000000, 0.000000, 1.000000, 0.000000</t>
  </si>
  <si>
    <t>6   num: 9</t>
  </si>
  <si>
    <t>namaqualand_0100.txt</t>
  </si>
  <si>
    <t>0.000000, 1.000000, 0.000000, 0.000000</t>
  </si>
  <si>
    <t>6   num: 6</t>
  </si>
  <si>
    <t>namaqualand_0202060.txt</t>
  </si>
  <si>
    <t>0.000000, 0.200000, 0.200000, 0.600000</t>
  </si>
  <si>
    <t>9   num: 2</t>
  </si>
  <si>
    <t>namaqualand_1000.txt</t>
  </si>
  <si>
    <t>1.000000, 0.000000, 0.000000, 0.000000</t>
  </si>
  <si>
    <t>7   num: 5</t>
  </si>
  <si>
    <t>namaqualand_25252525.txt</t>
  </si>
  <si>
    <t>0.250000, 0.250000, 0.250000, 0.250000</t>
  </si>
  <si>
    <t>8   num: 3</t>
  </si>
  <si>
    <t>namaqualand_50101030adj15.txt</t>
  </si>
  <si>
    <t>0.500000, 0.100000, 0.100000, 0.300000（0.15）</t>
  </si>
  <si>
    <t>6   num: 2</t>
  </si>
  <si>
    <t>namaqualand_50101030adj25.txt</t>
  </si>
  <si>
    <t>0.500000, 0.100000, 0.100000, 0.300000（0.25）</t>
  </si>
  <si>
    <t>7   num: 7</t>
  </si>
  <si>
    <t>namaqualand_50101030adj35.txt</t>
  </si>
  <si>
    <t>0.500000, 0.100000, 0.100000, 0.300000</t>
  </si>
  <si>
    <t>7   num: 9</t>
  </si>
  <si>
    <t>namaqualand_50101030adj45.txt</t>
  </si>
  <si>
    <t>0.500000, 0.100000, 0.100000, 0.300000（0.45）</t>
  </si>
  <si>
    <t>7   num: 10</t>
  </si>
  <si>
    <t>namaqualand_50101030adj55.txt</t>
  </si>
  <si>
    <t>0.500000, 0.100000, 0.100000, 0.300000（0.55）</t>
  </si>
  <si>
    <t>8   num: 7</t>
  </si>
  <si>
    <t>namaqualand_5501134.txt</t>
  </si>
  <si>
    <t>0.550000, 0.000000, 0.110000, 0.340000</t>
  </si>
  <si>
    <t>7   num: 8</t>
  </si>
  <si>
    <t>namaqualand_5511034.txt</t>
  </si>
  <si>
    <t>0.550000, 0.110000, 0.000000, 0.340000</t>
  </si>
  <si>
    <t>7   num: 6</t>
  </si>
  <si>
    <t>namaqualand_7015150.txt</t>
  </si>
  <si>
    <t>0.700000, 0.150000, 0.150000, 0.000000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</si>
</sst>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zoomScale="85" zoomScaleNormal="85" workbookViewId="0">
      <selection activeCell="J26" sqref="J26"/>
    </sheetView>
  </sheetViews>
  <sheetFormatPr defaultColWidth="9" defaultRowHeight="14"/>
  <cols>
    <col min="2" max="2" width="43.2333333333333" customWidth="1"/>
    <col min="4" max="4" width="9.41666666666667"/>
    <col min="7" max="10" width="8.83333333333333" customWidth="1"/>
    <col min="11" max="11" width="15.9166666666667" customWidth="1"/>
    <col min="14" max="14" width="14.75" customWidth="1"/>
    <col min="16" max="17" width="8.58333333333333" customWidth="1"/>
    <col min="18" max="18" width="20.5833333333333" customWidth="1"/>
    <col min="19" max="20" width="8.75" customWidth="1"/>
    <col min="21" max="21" width="8.58333333333333" customWidth="1"/>
    <col min="25" max="25" width="9" customWidth="1"/>
  </cols>
  <sheetData>
    <row r="1" ht="84" spans="1: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5"/>
    </row>
    <row r="2" spans="1:25">
      <c r="A2" t="s">
        <v>24</v>
      </c>
      <c r="B2" s="1" t="s">
        <v>25</v>
      </c>
      <c r="C2" t="s">
        <v>26</v>
      </c>
      <c r="D2">
        <v>0.962482</v>
      </c>
      <c r="E2">
        <v>0.380712</v>
      </c>
      <c r="F2">
        <v>0.350102</v>
      </c>
      <c r="G2" s="1">
        <v>0.459827</v>
      </c>
      <c r="H2" s="1">
        <v>0.962482</v>
      </c>
      <c r="I2" s="1">
        <v>0.962482</v>
      </c>
      <c r="J2" s="1">
        <v>60</v>
      </c>
      <c r="K2" s="1">
        <v>2.333333</v>
      </c>
      <c r="L2" s="1">
        <v>31</v>
      </c>
      <c r="M2" s="1">
        <v>54</v>
      </c>
      <c r="N2">
        <f>L2/(L2+M2)</f>
        <v>0.364705882352941</v>
      </c>
      <c r="O2" s="1">
        <v>0.516667</v>
      </c>
      <c r="P2" s="1">
        <v>0.9</v>
      </c>
      <c r="Q2" s="1">
        <v>0.627788</v>
      </c>
      <c r="R2" s="1">
        <v>60</v>
      </c>
      <c r="S2" s="1">
        <v>70</v>
      </c>
      <c r="T2" s="1">
        <v>124</v>
      </c>
      <c r="U2" s="1">
        <v>0.646198</v>
      </c>
      <c r="V2" s="1">
        <v>27</v>
      </c>
      <c r="W2" s="1">
        <v>10447</v>
      </c>
      <c r="X2" s="5">
        <f>V2+W2</f>
        <v>10474</v>
      </c>
      <c r="Y2" s="5"/>
    </row>
    <row r="3" spans="1:25">
      <c r="A3" t="s">
        <v>27</v>
      </c>
      <c r="B3" s="1" t="s">
        <v>28</v>
      </c>
      <c r="C3" t="s">
        <v>29</v>
      </c>
      <c r="D3">
        <v>0.999665</v>
      </c>
      <c r="E3">
        <v>0.570868</v>
      </c>
      <c r="F3">
        <v>0.380865</v>
      </c>
      <c r="G3" s="1">
        <v>0.999665</v>
      </c>
      <c r="H3" s="1">
        <v>0.249465</v>
      </c>
      <c r="I3" s="1">
        <v>0.999665</v>
      </c>
      <c r="J3" s="1">
        <v>60</v>
      </c>
      <c r="K3" s="1">
        <v>2.433333</v>
      </c>
      <c r="L3" s="1">
        <v>86</v>
      </c>
      <c r="M3" s="1">
        <v>0</v>
      </c>
      <c r="N3">
        <f t="shared" ref="N3:N15" si="0">L3/(L3+M3)</f>
        <v>1</v>
      </c>
      <c r="O3" s="1">
        <v>1.433333</v>
      </c>
      <c r="P3" s="1">
        <v>0</v>
      </c>
      <c r="Q3" s="1">
        <v>0.637852</v>
      </c>
      <c r="R3" s="1">
        <v>60</v>
      </c>
      <c r="S3" s="1">
        <v>54</v>
      </c>
      <c r="T3" s="1">
        <v>80</v>
      </c>
      <c r="U3" s="1">
        <v>0.487707</v>
      </c>
      <c r="V3" s="1">
        <v>0</v>
      </c>
      <c r="W3" s="1">
        <v>3418</v>
      </c>
      <c r="X3" s="5">
        <f t="shared" ref="X3:X15" si="1">V3+W3</f>
        <v>3418</v>
      </c>
      <c r="Y3" s="5"/>
    </row>
    <row r="4" spans="1:25">
      <c r="A4" t="s">
        <v>30</v>
      </c>
      <c r="B4" s="1" t="s">
        <v>31</v>
      </c>
      <c r="C4" t="s">
        <v>32</v>
      </c>
      <c r="D4">
        <v>0.965983</v>
      </c>
      <c r="E4">
        <v>0.005729</v>
      </c>
      <c r="F4">
        <v>0.965983</v>
      </c>
      <c r="G4" s="1">
        <v>0.709141</v>
      </c>
      <c r="H4" s="1">
        <v>0.077451</v>
      </c>
      <c r="I4" s="1">
        <v>0.965983</v>
      </c>
      <c r="J4" s="1">
        <v>60</v>
      </c>
      <c r="K4" s="1">
        <v>17.066667</v>
      </c>
      <c r="L4" s="1">
        <v>478</v>
      </c>
      <c r="M4" s="1">
        <v>486</v>
      </c>
      <c r="N4">
        <f t="shared" si="0"/>
        <v>0.495850622406639</v>
      </c>
      <c r="O4" s="1">
        <v>7.966667</v>
      </c>
      <c r="P4" s="1">
        <v>8.1</v>
      </c>
      <c r="Q4" s="1">
        <v>0.094196</v>
      </c>
      <c r="R4" s="1">
        <v>60</v>
      </c>
      <c r="S4" s="1">
        <v>92</v>
      </c>
      <c r="T4" s="1">
        <v>103</v>
      </c>
      <c r="U4" s="1">
        <v>0.52894</v>
      </c>
      <c r="V4" s="1">
        <v>39</v>
      </c>
      <c r="W4" s="1">
        <v>6490</v>
      </c>
      <c r="X4" s="5">
        <f t="shared" si="1"/>
        <v>6529</v>
      </c>
      <c r="Y4" s="5"/>
    </row>
    <row r="5" spans="1:25">
      <c r="A5" t="s">
        <v>33</v>
      </c>
      <c r="B5" s="1" t="s">
        <v>34</v>
      </c>
      <c r="C5" t="s">
        <v>35</v>
      </c>
      <c r="D5">
        <v>0.856269</v>
      </c>
      <c r="E5">
        <v>0.070883</v>
      </c>
      <c r="F5">
        <v>0.645834</v>
      </c>
      <c r="G5" s="1">
        <v>0.964655</v>
      </c>
      <c r="H5" s="1">
        <v>0.890285</v>
      </c>
      <c r="I5" s="1">
        <v>0.856269</v>
      </c>
      <c r="J5" s="1">
        <v>60</v>
      </c>
      <c r="K5" s="1">
        <v>5.35</v>
      </c>
      <c r="L5" s="1">
        <v>139</v>
      </c>
      <c r="M5" s="1">
        <v>122</v>
      </c>
      <c r="N5">
        <f t="shared" si="0"/>
        <v>0.532567049808429</v>
      </c>
      <c r="O5" s="1">
        <v>2.316667</v>
      </c>
      <c r="P5" s="1">
        <v>2.033333</v>
      </c>
      <c r="Q5" s="1">
        <v>0.235454</v>
      </c>
      <c r="R5" s="1">
        <v>60</v>
      </c>
      <c r="S5" s="1">
        <v>97</v>
      </c>
      <c r="T5" s="1">
        <v>152</v>
      </c>
      <c r="U5" s="1">
        <v>0.694113</v>
      </c>
      <c r="V5" s="1">
        <v>335</v>
      </c>
      <c r="W5" s="1">
        <v>13582</v>
      </c>
      <c r="X5" s="5">
        <f t="shared" si="1"/>
        <v>13917</v>
      </c>
      <c r="Y5" s="5"/>
    </row>
    <row r="6" spans="1:25">
      <c r="A6" t="s">
        <v>36</v>
      </c>
      <c r="B6" s="1" t="s">
        <v>37</v>
      </c>
      <c r="C6" t="s">
        <v>38</v>
      </c>
      <c r="D6">
        <v>0.973146</v>
      </c>
      <c r="E6">
        <v>0.973146</v>
      </c>
      <c r="F6">
        <v>0.32968</v>
      </c>
      <c r="G6" s="1">
        <v>0.905118</v>
      </c>
      <c r="H6" s="1">
        <v>0.468675</v>
      </c>
      <c r="I6" s="1">
        <v>0.973146</v>
      </c>
      <c r="J6" s="1">
        <v>60</v>
      </c>
      <c r="K6" s="1">
        <v>2</v>
      </c>
      <c r="L6" s="1">
        <v>54</v>
      </c>
      <c r="M6" s="1">
        <v>6</v>
      </c>
      <c r="N6">
        <f t="shared" si="0"/>
        <v>0.9</v>
      </c>
      <c r="O6" s="1">
        <v>0.9</v>
      </c>
      <c r="P6" s="1">
        <v>0.1</v>
      </c>
      <c r="Q6" s="1">
        <v>0.995443</v>
      </c>
      <c r="R6" s="1">
        <v>60</v>
      </c>
      <c r="S6" s="1">
        <v>61</v>
      </c>
      <c r="T6" s="1">
        <v>111</v>
      </c>
      <c r="U6" s="1">
        <v>0.586181</v>
      </c>
      <c r="V6" s="1">
        <v>6</v>
      </c>
      <c r="W6" s="1">
        <v>4954</v>
      </c>
      <c r="X6" s="5">
        <f t="shared" si="1"/>
        <v>4960</v>
      </c>
      <c r="Y6" s="5"/>
    </row>
    <row r="7" spans="1:25">
      <c r="A7" t="s">
        <v>39</v>
      </c>
      <c r="B7" s="1" t="s">
        <v>40</v>
      </c>
      <c r="C7" t="s">
        <v>41</v>
      </c>
      <c r="D7">
        <v>0.764755</v>
      </c>
      <c r="E7">
        <v>0.898914</v>
      </c>
      <c r="F7">
        <v>0.343856</v>
      </c>
      <c r="G7" s="1">
        <v>0.99031</v>
      </c>
      <c r="H7" s="1">
        <v>0.82594</v>
      </c>
      <c r="I7" s="1">
        <v>0.764755</v>
      </c>
      <c r="J7" s="1">
        <v>60</v>
      </c>
      <c r="K7" s="1">
        <v>2.116667</v>
      </c>
      <c r="L7" s="1">
        <v>63</v>
      </c>
      <c r="M7" s="1">
        <v>4</v>
      </c>
      <c r="N7">
        <f t="shared" si="0"/>
        <v>0.940298507462687</v>
      </c>
      <c r="O7" s="1">
        <v>1.05</v>
      </c>
      <c r="P7" s="1">
        <v>0.066667</v>
      </c>
      <c r="Q7" s="1">
        <v>0.941955</v>
      </c>
      <c r="R7" s="1">
        <v>60</v>
      </c>
      <c r="S7" s="1">
        <v>62</v>
      </c>
      <c r="T7" s="1">
        <v>126</v>
      </c>
      <c r="U7" s="1">
        <v>0.625297</v>
      </c>
      <c r="V7" s="1">
        <v>47</v>
      </c>
      <c r="W7" s="1">
        <v>11370</v>
      </c>
      <c r="X7" s="5">
        <f t="shared" si="1"/>
        <v>11417</v>
      </c>
      <c r="Y7" s="5"/>
    </row>
    <row r="8" spans="1:25">
      <c r="A8" s="6" t="s">
        <v>42</v>
      </c>
      <c r="B8" s="7" t="s">
        <v>43</v>
      </c>
      <c r="C8" s="6" t="s">
        <v>44</v>
      </c>
      <c r="D8" s="6">
        <v>0.704839</v>
      </c>
      <c r="E8" s="6">
        <v>0.825819</v>
      </c>
      <c r="F8" s="6">
        <v>0.384386</v>
      </c>
      <c r="G8" s="7">
        <v>0.778805</v>
      </c>
      <c r="H8" s="7">
        <v>0.585368</v>
      </c>
      <c r="I8" s="7">
        <v>0.704839</v>
      </c>
      <c r="J8" s="7">
        <v>60</v>
      </c>
      <c r="K8" s="7">
        <v>2.466667</v>
      </c>
      <c r="L8" s="7">
        <v>71</v>
      </c>
      <c r="M8" s="7">
        <v>17</v>
      </c>
      <c r="N8">
        <f t="shared" si="0"/>
        <v>0.806818181818182</v>
      </c>
      <c r="O8" s="7">
        <v>1.183333</v>
      </c>
      <c r="P8" s="7">
        <v>0.283333</v>
      </c>
      <c r="Q8" s="7">
        <v>0.910081</v>
      </c>
      <c r="R8" s="7">
        <v>60</v>
      </c>
      <c r="S8" s="7">
        <v>62</v>
      </c>
      <c r="T8" s="7">
        <v>76</v>
      </c>
      <c r="U8" s="7">
        <v>0.445107</v>
      </c>
      <c r="V8" s="7">
        <v>0</v>
      </c>
      <c r="W8" s="7">
        <v>2825</v>
      </c>
      <c r="X8" s="5">
        <f t="shared" si="1"/>
        <v>2825</v>
      </c>
      <c r="Y8" s="5"/>
    </row>
    <row r="9" spans="1:25">
      <c r="A9" s="6" t="s">
        <v>45</v>
      </c>
      <c r="B9" s="7" t="s">
        <v>46</v>
      </c>
      <c r="C9" s="6" t="s">
        <v>47</v>
      </c>
      <c r="D9" s="6">
        <v>0.80842</v>
      </c>
      <c r="E9" s="6">
        <v>0.907835</v>
      </c>
      <c r="F9" s="6">
        <v>0.347458</v>
      </c>
      <c r="G9" s="7">
        <v>0.843882</v>
      </c>
      <c r="H9" s="7">
        <v>0.78456</v>
      </c>
      <c r="I9" s="7">
        <v>0.80842</v>
      </c>
      <c r="J9" s="7">
        <v>60</v>
      </c>
      <c r="K9" s="7">
        <v>2.15</v>
      </c>
      <c r="L9" s="7">
        <v>60</v>
      </c>
      <c r="M9" s="7">
        <v>9</v>
      </c>
      <c r="N9">
        <f t="shared" si="0"/>
        <v>0.869565217391304</v>
      </c>
      <c r="O9" s="7">
        <v>1</v>
      </c>
      <c r="P9" s="7">
        <v>0.15</v>
      </c>
      <c r="Q9" s="7">
        <v>0.965355</v>
      </c>
      <c r="R9" s="7">
        <v>60</v>
      </c>
      <c r="S9" s="7">
        <v>67</v>
      </c>
      <c r="T9" s="7">
        <v>112</v>
      </c>
      <c r="U9" s="7">
        <v>0.560506</v>
      </c>
      <c r="V9" s="7">
        <v>3</v>
      </c>
      <c r="W9" s="7">
        <v>7031</v>
      </c>
      <c r="X9" s="5">
        <f t="shared" si="1"/>
        <v>7034</v>
      </c>
      <c r="Y9" s="5"/>
    </row>
    <row r="10" spans="1:25">
      <c r="A10" s="6" t="s">
        <v>48</v>
      </c>
      <c r="B10" s="7" t="s">
        <v>49</v>
      </c>
      <c r="C10" s="6" t="s">
        <v>50</v>
      </c>
      <c r="D10" s="6">
        <v>0.826367</v>
      </c>
      <c r="E10" s="6">
        <v>0.923716</v>
      </c>
      <c r="F10" s="6">
        <v>0.333363</v>
      </c>
      <c r="G10" s="7">
        <v>0.927673</v>
      </c>
      <c r="H10" s="7">
        <v>0.794686</v>
      </c>
      <c r="I10" s="7">
        <v>0.826367</v>
      </c>
      <c r="J10" s="7">
        <v>60</v>
      </c>
      <c r="K10" s="7">
        <v>2.033333</v>
      </c>
      <c r="L10" s="7">
        <v>57</v>
      </c>
      <c r="M10" s="7">
        <v>5</v>
      </c>
      <c r="N10">
        <f t="shared" si="0"/>
        <v>0.919354838709677</v>
      </c>
      <c r="O10" s="7">
        <v>0.95</v>
      </c>
      <c r="P10" s="7">
        <v>0.083333</v>
      </c>
      <c r="Q10" s="7">
        <v>0.96648</v>
      </c>
      <c r="R10" s="7">
        <v>60</v>
      </c>
      <c r="S10" s="7">
        <v>70</v>
      </c>
      <c r="T10" s="7">
        <v>120</v>
      </c>
      <c r="U10" s="7">
        <v>0.605743</v>
      </c>
      <c r="V10" s="7">
        <v>35</v>
      </c>
      <c r="W10" s="7">
        <v>9419</v>
      </c>
      <c r="X10" s="5">
        <f t="shared" si="1"/>
        <v>9454</v>
      </c>
      <c r="Y10" s="5"/>
    </row>
    <row r="11" ht="28" spans="1:25">
      <c r="A11" s="6" t="s">
        <v>51</v>
      </c>
      <c r="B11" s="7" t="s">
        <v>52</v>
      </c>
      <c r="C11" s="6" t="s">
        <v>53</v>
      </c>
      <c r="D11" s="6">
        <v>0.82733</v>
      </c>
      <c r="E11" s="6">
        <v>0.928655</v>
      </c>
      <c r="F11" s="6">
        <v>0.32968</v>
      </c>
      <c r="G11" s="7">
        <v>0.928042</v>
      </c>
      <c r="H11" s="7">
        <v>0.790767</v>
      </c>
      <c r="I11" s="7">
        <v>0.82733</v>
      </c>
      <c r="J11" s="7">
        <v>60</v>
      </c>
      <c r="K11" s="7">
        <v>2</v>
      </c>
      <c r="L11" s="7">
        <v>56</v>
      </c>
      <c r="M11" s="7">
        <v>4</v>
      </c>
      <c r="N11">
        <f t="shared" si="0"/>
        <v>0.933333333333333</v>
      </c>
      <c r="O11" s="7">
        <v>0.933333</v>
      </c>
      <c r="P11" s="7">
        <v>0.066667</v>
      </c>
      <c r="Q11" s="7">
        <v>0.973152</v>
      </c>
      <c r="R11" s="7">
        <v>60</v>
      </c>
      <c r="S11" s="7">
        <v>70</v>
      </c>
      <c r="T11" s="7">
        <v>123</v>
      </c>
      <c r="U11" s="7">
        <v>0.617985</v>
      </c>
      <c r="V11" s="7">
        <v>35</v>
      </c>
      <c r="W11" s="7">
        <v>10350</v>
      </c>
      <c r="X11" s="5">
        <f t="shared" si="1"/>
        <v>10385</v>
      </c>
      <c r="Y11" s="5"/>
    </row>
    <row r="12" spans="1:25">
      <c r="A12" s="6" t="s">
        <v>54</v>
      </c>
      <c r="B12" s="7" t="s">
        <v>55</v>
      </c>
      <c r="C12" s="6" t="s">
        <v>56</v>
      </c>
      <c r="D12" s="6">
        <v>0.834106</v>
      </c>
      <c r="E12" s="6">
        <v>0.932588</v>
      </c>
      <c r="F12" s="6">
        <v>0.32968</v>
      </c>
      <c r="G12" s="7">
        <v>0.936369</v>
      </c>
      <c r="H12" s="7">
        <v>0.804024</v>
      </c>
      <c r="I12" s="7">
        <v>0.834106</v>
      </c>
      <c r="J12" s="7">
        <v>60</v>
      </c>
      <c r="K12" s="7">
        <v>2</v>
      </c>
      <c r="L12" s="7">
        <v>57</v>
      </c>
      <c r="M12" s="7">
        <v>3</v>
      </c>
      <c r="N12">
        <f t="shared" si="0"/>
        <v>0.95</v>
      </c>
      <c r="O12" s="7">
        <v>0.95</v>
      </c>
      <c r="P12" s="7">
        <v>0.05</v>
      </c>
      <c r="Q12" s="7">
        <v>0.975775</v>
      </c>
      <c r="R12" s="7">
        <v>60</v>
      </c>
      <c r="S12" s="7">
        <v>70</v>
      </c>
      <c r="T12" s="7">
        <v>132</v>
      </c>
      <c r="U12" s="7">
        <v>0.639402</v>
      </c>
      <c r="V12" s="7">
        <v>3</v>
      </c>
      <c r="W12" s="7">
        <v>10682</v>
      </c>
      <c r="X12" s="5">
        <f t="shared" si="1"/>
        <v>10685</v>
      </c>
      <c r="Y12" s="5"/>
    </row>
    <row r="13" spans="1:25">
      <c r="A13" t="s">
        <v>57</v>
      </c>
      <c r="B13" s="1" t="s">
        <v>58</v>
      </c>
      <c r="C13" t="s">
        <v>59</v>
      </c>
      <c r="D13">
        <v>0.880261</v>
      </c>
      <c r="E13">
        <v>0.925509</v>
      </c>
      <c r="F13">
        <v>0.32968</v>
      </c>
      <c r="G13" s="1">
        <v>0.927453</v>
      </c>
      <c r="H13" s="1">
        <v>0.791798</v>
      </c>
      <c r="I13" s="1">
        <v>0.880261</v>
      </c>
      <c r="J13" s="1">
        <v>60</v>
      </c>
      <c r="K13" s="1">
        <v>2</v>
      </c>
      <c r="L13" s="1">
        <v>56</v>
      </c>
      <c r="M13" s="1">
        <v>4</v>
      </c>
      <c r="N13">
        <f t="shared" si="0"/>
        <v>0.933333333333333</v>
      </c>
      <c r="O13" s="1">
        <v>0.933333</v>
      </c>
      <c r="P13" s="1">
        <v>0.066667</v>
      </c>
      <c r="Q13" s="1">
        <v>0.971184</v>
      </c>
      <c r="R13" s="1">
        <v>60</v>
      </c>
      <c r="S13" s="1">
        <v>67</v>
      </c>
      <c r="T13" s="1">
        <v>116</v>
      </c>
      <c r="U13" s="1">
        <v>0.596016</v>
      </c>
      <c r="V13" s="1">
        <v>43</v>
      </c>
      <c r="W13" s="1">
        <v>9405</v>
      </c>
      <c r="X13" s="5">
        <f t="shared" si="1"/>
        <v>9448</v>
      </c>
      <c r="Y13" s="5"/>
    </row>
    <row r="14" spans="1:25">
      <c r="A14" t="s">
        <v>60</v>
      </c>
      <c r="B14" s="1" t="s">
        <v>61</v>
      </c>
      <c r="C14" t="s">
        <v>62</v>
      </c>
      <c r="D14">
        <v>0.829299</v>
      </c>
      <c r="E14">
        <v>0.93393</v>
      </c>
      <c r="F14">
        <v>0.32968</v>
      </c>
      <c r="G14" s="1">
        <v>0.704958</v>
      </c>
      <c r="H14" s="1">
        <v>0.821685</v>
      </c>
      <c r="I14" s="1">
        <v>0.829299</v>
      </c>
      <c r="J14" s="1">
        <v>60</v>
      </c>
      <c r="K14" s="1">
        <v>2</v>
      </c>
      <c r="L14" s="1">
        <v>42</v>
      </c>
      <c r="M14" s="1">
        <v>18</v>
      </c>
      <c r="N14">
        <f t="shared" si="0"/>
        <v>0.7</v>
      </c>
      <c r="O14" s="1">
        <v>0.7</v>
      </c>
      <c r="P14" s="1">
        <v>0.3</v>
      </c>
      <c r="Q14" s="1">
        <v>0.976518</v>
      </c>
      <c r="R14" s="1">
        <v>60</v>
      </c>
      <c r="S14" s="1">
        <v>65</v>
      </c>
      <c r="T14" s="1">
        <v>120</v>
      </c>
      <c r="U14" s="1">
        <v>0.596568</v>
      </c>
      <c r="V14" s="1">
        <v>11</v>
      </c>
      <c r="W14" s="1">
        <v>9086</v>
      </c>
      <c r="X14" s="5">
        <f t="shared" si="1"/>
        <v>9097</v>
      </c>
      <c r="Y14" s="5"/>
    </row>
    <row r="15" spans="1:25">
      <c r="A15" t="s">
        <v>63</v>
      </c>
      <c r="B15" s="1" t="s">
        <v>64</v>
      </c>
      <c r="C15" t="s">
        <v>59</v>
      </c>
      <c r="D15">
        <v>0.874724</v>
      </c>
      <c r="E15">
        <v>0.965313</v>
      </c>
      <c r="F15">
        <v>0.32968</v>
      </c>
      <c r="G15" s="1">
        <v>0.997017</v>
      </c>
      <c r="H15" s="1">
        <v>0.430543</v>
      </c>
      <c r="I15" s="1">
        <v>0.874724</v>
      </c>
      <c r="J15" s="1">
        <v>60</v>
      </c>
      <c r="K15" s="1">
        <v>2</v>
      </c>
      <c r="L15" s="1">
        <v>60</v>
      </c>
      <c r="M15" s="1">
        <v>0</v>
      </c>
      <c r="N15">
        <f t="shared" si="0"/>
        <v>1</v>
      </c>
      <c r="O15" s="1">
        <v>1</v>
      </c>
      <c r="P15" s="1">
        <v>0</v>
      </c>
      <c r="Q15" s="1">
        <v>0.992028</v>
      </c>
      <c r="R15" s="1">
        <v>60</v>
      </c>
      <c r="S15" s="1">
        <v>59</v>
      </c>
      <c r="T15" s="1">
        <v>107</v>
      </c>
      <c r="U15" s="1">
        <v>0.568572</v>
      </c>
      <c r="V15" s="1">
        <v>0</v>
      </c>
      <c r="W15" s="1">
        <v>6093</v>
      </c>
      <c r="X15" s="5">
        <f t="shared" si="1"/>
        <v>6093</v>
      </c>
      <c r="Y15" s="5"/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translucency_summary_merged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忘川三途</cp:lastModifiedBy>
  <dcterms:created xsi:type="dcterms:W3CDTF">2026-04-23T19:05:00Z</dcterms:created>
  <dcterms:modified xsi:type="dcterms:W3CDTF">2026-04-26T07:16:19Z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F1BD135B00CD441AB9E0F5776DE3026F_12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